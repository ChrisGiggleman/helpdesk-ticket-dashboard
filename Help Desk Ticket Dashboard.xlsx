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hidePivotFieldList="1" defaultThemeVersion="166925"/>
  <xr:revisionPtr revIDLastSave="0" documentId="8_{92C52F77-E6D4-48DD-B8B2-9698660B20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icket_Dashboard" sheetId="2" r:id="rId1"/>
    <sheet name="Ticket_Pivots" sheetId="3" r:id="rId2"/>
    <sheet name="Ticket_Data" sheetId="1" r:id="rId3"/>
  </sheets>
  <calcPr calcId="191028"/>
  <pivotCaches>
    <pivotCache cacheId="587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C13" i="1"/>
  <c r="C14" i="1"/>
  <c r="C15" i="1"/>
  <c r="C16" i="1"/>
  <c r="C17" i="1"/>
  <c r="C18" i="1"/>
  <c r="C19" i="1"/>
  <c r="C20" i="1"/>
  <c r="C21" i="1"/>
  <c r="C12" i="1"/>
  <c r="C11" i="1"/>
  <c r="C10" i="1"/>
  <c r="C9" i="1"/>
  <c r="C8" i="1"/>
  <c r="C7" i="1"/>
  <c r="C6" i="1"/>
  <c r="C5" i="1"/>
  <c r="C4" i="1"/>
  <c r="C3" i="1"/>
  <c r="C2" i="1"/>
  <c r="B5" i="2"/>
  <c r="B4" i="2"/>
  <c r="B3" i="2"/>
  <c r="B2" i="2"/>
</calcChain>
</file>

<file path=xl/sharedStrings.xml><?xml version="1.0" encoding="utf-8"?>
<sst xmlns="http://schemas.openxmlformats.org/spreadsheetml/2006/main" count="140" uniqueCount="38">
  <si>
    <t>Help Desk Ticket Dashboard</t>
  </si>
  <si>
    <t>Total Tickets</t>
  </si>
  <si>
    <t>Average Resolution Time</t>
  </si>
  <si>
    <t>High Priority Tickets</t>
  </si>
  <si>
    <t>Closed Tickets</t>
  </si>
  <si>
    <t>Department</t>
  </si>
  <si>
    <t>Count of Ticket_ID</t>
  </si>
  <si>
    <t>Issue_Type</t>
  </si>
  <si>
    <t>MonthSort</t>
  </si>
  <si>
    <t>Finance</t>
  </si>
  <si>
    <t>Account Lockout</t>
  </si>
  <si>
    <t>HR</t>
  </si>
  <si>
    <t>Email Issue</t>
  </si>
  <si>
    <t>IT</t>
  </si>
  <si>
    <t>Laptop Issue</t>
  </si>
  <si>
    <t>Sales</t>
  </si>
  <si>
    <t>Network Issue</t>
  </si>
  <si>
    <t>(blank)</t>
  </si>
  <si>
    <t>Password Reset</t>
  </si>
  <si>
    <t>Grand Total</t>
  </si>
  <si>
    <t>Printer Issue</t>
  </si>
  <si>
    <t>Server Alert</t>
  </si>
  <si>
    <t>Software Install</t>
  </si>
  <si>
    <t>VPN Issue</t>
  </si>
  <si>
    <t>Ticket_ID</t>
  </si>
  <si>
    <t>Date</t>
  </si>
  <si>
    <t>Month</t>
  </si>
  <si>
    <t>Priority</t>
  </si>
  <si>
    <t>Resolution_Time_Hours</t>
  </si>
  <si>
    <t>Status</t>
  </si>
  <si>
    <t>Technician</t>
  </si>
  <si>
    <t>Low</t>
  </si>
  <si>
    <t>Closed</t>
  </si>
  <si>
    <t>Alex</t>
  </si>
  <si>
    <t>Medium</t>
  </si>
  <si>
    <t>Sam</t>
  </si>
  <si>
    <t>High</t>
  </si>
  <si>
    <t>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</si>
</sst>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center"/>
    </xf>
    <xf numFmtId="0" fontId="1" fillId="0" borderId="2" xfId="0" applyFont="1" applyBorder="1"/>
    <xf numFmtId="0" fontId="3" fillId="2" borderId="1" xfId="0" applyFont="1" applyFill="1" applyBorder="1"/>
    <xf numFmtId="0" fontId="4" fillId="3" borderId="1" xfId="0" applyFont="1" applyFill="1" applyBorder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 By Issue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Account Lockout</c:v>
              </c:pt>
              <c:pt idx="1">
                <c:v>Email Issue</c:v>
              </c:pt>
              <c:pt idx="2">
                <c:v>Laptop Issue</c:v>
              </c:pt>
              <c:pt idx="3">
                <c:v>Network Issue</c:v>
              </c:pt>
              <c:pt idx="4">
                <c:v>Password Reset</c:v>
              </c:pt>
              <c:pt idx="5">
                <c:v>Printer Issue</c:v>
              </c:pt>
              <c:pt idx="6">
                <c:v>Server Alert</c:v>
              </c:pt>
              <c:pt idx="7">
                <c:v>Software Install</c:v>
              </c:pt>
              <c:pt idx="8">
                <c:v>VPN Issue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2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F372-44C0-A7D4-FFACAFABD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65831"/>
        <c:axId val="1379251719"/>
      </c:barChart>
      <c:catAx>
        <c:axId val="1579658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251719"/>
        <c:crosses val="autoZero"/>
        <c:auto val="1"/>
        <c:lblAlgn val="ctr"/>
        <c:lblOffset val="100"/>
        <c:noMultiLvlLbl val="0"/>
      </c:catAx>
      <c:valAx>
        <c:axId val="1379251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65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Tickets by Department</a:t>
            </a:r>
          </a:p>
        </c:rich>
      </c:tx>
      <c:layout>
        <c:manualLayout>
          <c:xMode val="edge"/>
          <c:yMode val="edge"/>
          <c:x val="0.45361111111111119"/>
          <c:y val="2.430555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Sales</c:v>
              </c:pt>
            </c:strLit>
          </c:cat>
          <c:val>
            <c:numLit>
              <c:formatCode>General</c:formatCode>
              <c:ptCount val="4"/>
              <c:pt idx="0">
                <c:v>2</c:v>
              </c:pt>
              <c:pt idx="1">
                <c:v>3</c:v>
              </c:pt>
              <c:pt idx="2">
                <c:v>3</c:v>
              </c:pt>
              <c:pt idx="3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2DA2-4753-AAD0-460FAFF1B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309704"/>
        <c:axId val="1057311752"/>
      </c:barChart>
      <c:catAx>
        <c:axId val="10573097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11752"/>
        <c:crosses val="autoZero"/>
        <c:auto val="1"/>
        <c:lblAlgn val="ctr"/>
        <c:lblOffset val="100"/>
        <c:noMultiLvlLbl val="0"/>
      </c:catAx>
      <c:valAx>
        <c:axId val="105731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09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[Book.xlsx]Ticket_Pivots!PivotTable5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Ticket Volume (2025)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Ticket_Pivots!$H$1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Ticket_Pivots!$G$2:$G$8</c:f>
              <c:strCache>
                <c:ptCount val="6"/>
                <c:pt idx="0">
                  <c:v>1/1/2025</c:v>
                </c:pt>
                <c:pt idx="1">
                  <c:v>2/1/2025</c:v>
                </c:pt>
                <c:pt idx="2">
                  <c:v>3/1/2025</c:v>
                </c:pt>
                <c:pt idx="3">
                  <c:v>4/1/2025</c:v>
                </c:pt>
                <c:pt idx="4">
                  <c:v>5/1/2025</c:v>
                </c:pt>
                <c:pt idx="5">
                  <c:v>(blank)</c:v>
                </c:pt>
              </c:strCache>
            </c:strRef>
          </c:cat>
          <c:val>
            <c:numRef>
              <c:f>Ticket_Pivots!$H$2:$H$8</c:f>
              <c:numCache>
                <c:formatCode>General</c:formatCode>
                <c:ptCount val="6"/>
                <c:pt idx="0">
                  <c:v>10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5-474D-B54F-2E3FAB183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255303"/>
        <c:axId val="86974472"/>
      </c:lineChart>
      <c:catAx>
        <c:axId val="939255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4472"/>
        <c:crosses val="autoZero"/>
        <c:auto val="1"/>
        <c:lblAlgn val="ctr"/>
        <c:lblOffset val="100"/>
        <c:noMultiLvlLbl val="0"/>
      </c:catAx>
      <c:valAx>
        <c:axId val="8697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255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1133475</xdr:colOff>
      <xdr:row>6</xdr:row>
      <xdr:rowOff>9525</xdr:rowOff>
    </xdr:from>
    <xdr:to>
      <xdr:col>12</xdr:col>
      <xdr:colOff>285750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C442D-EA3E-E9B8-DB4F-C5020B20D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4</xdr:col>
      <xdr:colOff>1123950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95AA32-D380-3146-F560-05BA0F30E3FF}"/>
            </a:ext>
            <a:ext uri="{147F2762-F138-4A5C-976F-8EAC2B608ADB}">
              <a16:predDERef xmlns:a16="http://schemas.microsoft.com/office/drawing/2014/main" pred="{6C7C442D-EA3E-E9B8-DB4F-C5020B20D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8</xdr:col>
      <xdr:colOff>590550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ABEF2F-A9B4-4B4A-8D4F-02261AB32C51}"/>
            </a:ext>
            <a:ext uri="{147F2762-F138-4A5C-976F-8EAC2B608ADB}">
              <a16:predDERef xmlns:a16="http://schemas.microsoft.com/office/drawing/2014/main" pred="{D995AA32-D380-3146-F560-05BA0F30E3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20501967592" createdVersion="8" refreshedVersion="8" minRefreshableVersion="3" recordCount="21" xr:uid="{6578035C-A1A2-4D2E-8A75-7E65831DD073}">
  <cacheSource type="worksheet">
    <worksheetSource name="Table1"/>
  </cacheSource>
  <cacheFields count="10">
    <cacheField name="Ticket_ID" numFmtId="0">
      <sharedItems containsString="0" containsBlank="1" containsNumber="1" containsInteger="1" minValue="1001" maxValue="1020"/>
    </cacheField>
    <cacheField name="Date" numFmtId="14">
      <sharedItems containsNonDate="0" containsDate="1" containsString="0" containsBlank="1" minDate="2025-01-02T00:00:00" maxDate="2025-05-10T00:00:00"/>
    </cacheField>
    <cacheField name="Month" numFmtId="14">
      <sharedItems containsBlank="1" count="6">
        <s v="Jan-2025"/>
        <s v="Feb-2025"/>
        <s v="Mar-2025"/>
        <s v="Apr-2025"/>
        <s v="May-2025"/>
        <m/>
      </sharedItems>
    </cacheField>
    <cacheField name="MonthSort" numFmtId="14">
      <sharedItems containsNonDate="0" containsDate="1" containsString="0" containsBlank="1" minDate="2025-01-01T00:00:00" maxDate="2025-05-02T00:00:00" count="6">
        <d v="2025-01-01T00:00:00"/>
        <d v="2025-02-01T00:00:00"/>
        <d v="2025-03-01T00:00:00"/>
        <d v="2025-04-01T00:00:00"/>
        <d v="2025-05-01T00:00:00"/>
        <m/>
      </sharedItems>
    </cacheField>
    <cacheField name="Department" numFmtId="0">
      <sharedItems containsBlank="1" count="5">
        <s v="HR"/>
        <s v="Finance"/>
        <s v="IT"/>
        <s v="Sales"/>
        <m/>
      </sharedItems>
    </cacheField>
    <cacheField name="Issue_Type" numFmtId="0">
      <sharedItems containsBlank="1" count="10">
        <s v="Password Reset"/>
        <s v="Software Install"/>
        <s v="Network Issue"/>
        <s v="Account Lockout"/>
        <s v="Laptop Issue"/>
        <s v="VPN Issue"/>
        <s v="Printer Issue"/>
        <s v="Email Issue"/>
        <s v="Server Alert"/>
        <m/>
      </sharedItems>
    </cacheField>
    <cacheField name="Priority" numFmtId="0">
      <sharedItems containsBlank="1"/>
    </cacheField>
    <cacheField name="Resolution_Time_Hours" numFmtId="0">
      <sharedItems containsString="0" containsBlank="1" containsNumber="1" minValue="0.3" maxValue="8"/>
    </cacheField>
    <cacheField name="Status" numFmtId="0">
      <sharedItems containsBlank="1"/>
    </cacheField>
    <cacheField name="Technici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001"/>
    <d v="2025-01-02T00:00:00"/>
    <x v="0"/>
    <x v="0"/>
    <x v="0"/>
    <x v="0"/>
    <s v="Low"/>
    <n v="0.5"/>
    <s v="Closed"/>
    <s v="Alex"/>
  </r>
  <r>
    <n v="1002"/>
    <d v="2025-01-03T00:00:00"/>
    <x v="0"/>
    <x v="0"/>
    <x v="1"/>
    <x v="1"/>
    <s v="Medium"/>
    <n v="2"/>
    <s v="Closed"/>
    <s v="Sam"/>
  </r>
  <r>
    <n v="1003"/>
    <d v="2025-01-05T00:00:00"/>
    <x v="0"/>
    <x v="0"/>
    <x v="2"/>
    <x v="2"/>
    <s v="High"/>
    <n v="5"/>
    <s v="Closed"/>
    <s v="Jordan"/>
  </r>
  <r>
    <n v="1004"/>
    <d v="2025-01-06T00:00:00"/>
    <x v="0"/>
    <x v="0"/>
    <x v="0"/>
    <x v="3"/>
    <s v="Low"/>
    <n v="0.3"/>
    <s v="Closed"/>
    <s v="Alex"/>
  </r>
  <r>
    <n v="1005"/>
    <d v="2025-01-07T00:00:00"/>
    <x v="0"/>
    <x v="0"/>
    <x v="3"/>
    <x v="4"/>
    <s v="High"/>
    <n v="6"/>
    <s v="Closed"/>
    <s v="Sam"/>
  </r>
  <r>
    <n v="1006"/>
    <d v="2025-01-08T00:00:00"/>
    <x v="0"/>
    <x v="0"/>
    <x v="1"/>
    <x v="5"/>
    <s v="Medium"/>
    <n v="3"/>
    <s v="Closed"/>
    <s v="Jordan"/>
  </r>
  <r>
    <n v="1007"/>
    <d v="2025-01-09T00:00:00"/>
    <x v="0"/>
    <x v="0"/>
    <x v="2"/>
    <x v="6"/>
    <s v="Low"/>
    <n v="1"/>
    <s v="Closed"/>
    <s v="Alex"/>
  </r>
  <r>
    <n v="1008"/>
    <d v="2025-01-10T00:00:00"/>
    <x v="0"/>
    <x v="0"/>
    <x v="3"/>
    <x v="0"/>
    <s v="Low"/>
    <n v="0.4"/>
    <s v="Closed"/>
    <s v="Sam"/>
  </r>
  <r>
    <n v="1009"/>
    <d v="2025-01-11T00:00:00"/>
    <x v="0"/>
    <x v="0"/>
    <x v="0"/>
    <x v="7"/>
    <s v="Medium"/>
    <n v="2"/>
    <s v="Closed"/>
    <s v="Jordan"/>
  </r>
  <r>
    <n v="1010"/>
    <d v="2025-01-12T00:00:00"/>
    <x v="0"/>
    <x v="0"/>
    <x v="2"/>
    <x v="8"/>
    <s v="High"/>
    <n v="8"/>
    <s v="Closed"/>
    <s v="Alex"/>
  </r>
  <r>
    <n v="1011"/>
    <d v="2025-02-03T00:00:00"/>
    <x v="1"/>
    <x v="1"/>
    <x v="0"/>
    <x v="0"/>
    <s v="Low"/>
    <n v="0.4"/>
    <s v="Closed"/>
    <s v="Alex"/>
  </r>
  <r>
    <n v="1012"/>
    <d v="2025-02-05T00:00:00"/>
    <x v="1"/>
    <x v="1"/>
    <x v="2"/>
    <x v="2"/>
    <s v="High"/>
    <n v="4"/>
    <s v="Closed"/>
    <s v="Jordan"/>
  </r>
  <r>
    <n v="1013"/>
    <d v="2025-02-07T00:00:00"/>
    <x v="1"/>
    <x v="1"/>
    <x v="1"/>
    <x v="1"/>
    <s v="Medium"/>
    <n v="1.5"/>
    <s v="Closed"/>
    <s v="Sam"/>
  </r>
  <r>
    <n v="1014"/>
    <d v="2025-03-01T00:00:00"/>
    <x v="2"/>
    <x v="2"/>
    <x v="3"/>
    <x v="4"/>
    <s v="High"/>
    <n v="5"/>
    <s v="Closed"/>
    <s v="Sam"/>
  </r>
  <r>
    <n v="1015"/>
    <d v="2025-03-04T00:00:00"/>
    <x v="2"/>
    <x v="2"/>
    <x v="2"/>
    <x v="6"/>
    <s v="Low"/>
    <n v="0.8"/>
    <s v="Closed"/>
    <s v="Alex"/>
  </r>
  <r>
    <n v="1016"/>
    <d v="2025-03-10T00:00:00"/>
    <x v="2"/>
    <x v="2"/>
    <x v="0"/>
    <x v="7"/>
    <s v="Medium"/>
    <n v="2.5"/>
    <s v="Closed"/>
    <s v="Jordan"/>
  </r>
  <r>
    <n v="1017"/>
    <d v="2025-04-02T00:00:00"/>
    <x v="3"/>
    <x v="3"/>
    <x v="2"/>
    <x v="8"/>
    <s v="High"/>
    <n v="6"/>
    <s v="Closed"/>
    <s v="Alex"/>
  </r>
  <r>
    <n v="1018"/>
    <d v="2025-04-06T00:00:00"/>
    <x v="3"/>
    <x v="3"/>
    <x v="1"/>
    <x v="5"/>
    <s v="Medium"/>
    <n v="3"/>
    <s v="Closed"/>
    <s v="Jordan"/>
  </r>
  <r>
    <n v="1019"/>
    <d v="2025-05-01T00:00:00"/>
    <x v="4"/>
    <x v="4"/>
    <x v="3"/>
    <x v="0"/>
    <s v="Low"/>
    <n v="0.3"/>
    <s v="Closed"/>
    <s v="Sam"/>
  </r>
  <r>
    <n v="1020"/>
    <d v="2025-05-09T00:00:00"/>
    <x v="4"/>
    <x v="4"/>
    <x v="0"/>
    <x v="3"/>
    <s v="Low"/>
    <n v="0.5"/>
    <s v="Closed"/>
    <s v="Alex"/>
  </r>
  <r>
    <m/>
    <m/>
    <x v="5"/>
    <x v="5"/>
    <x v="4"/>
    <x v="9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FF7D6-95B2-4DD7-8E10-73BDD201E38F}" name="PivotTable5" cacheId="58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G1:H8" firstHeaderRow="1" firstDataRow="1" firstDataCol="1"/>
  <pivotFields count="10">
    <pivotField dataField="1" compact="0" outline="0" subtotalTop="0" showAll="0"/>
    <pivotField compact="0" numFmtId="14" outline="0" subtotalTop="0" showAll="0"/>
    <pivotField compact="0" outline="0" subtotalTop="0" showAll="0">
      <items count="7">
        <item x="3"/>
        <item x="1"/>
        <item x="0"/>
        <item x="2"/>
        <item x="4"/>
        <item h="1" x="5"/>
        <item t="default"/>
      </items>
    </pivotField>
    <pivotField axis="axisRow" compact="0" outline="0" subtotalTop="0" showAll="0">
      <items count="7">
        <item x="0"/>
        <item x="1"/>
        <item x="2"/>
        <item x="3"/>
        <item x="4"/>
        <item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cket_ID" fld="0" subtotal="count" baseField="0" baseItem="0"/>
  </dataField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0D18D-61E3-4B89-96EF-D3F0BFE3B7C7}" name="PivotTable4" cacheId="58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1:E12" firstHeaderRow="1" firstDataRow="1" firstDataCol="1"/>
  <pivotFields count="10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3"/>
        <item x="7"/>
        <item x="4"/>
        <item x="2"/>
        <item x="0"/>
        <item x="6"/>
        <item x="8"/>
        <item x="1"/>
        <item x="5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icke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62A32-3398-4ACB-BF67-B799610111F0}" name="PivotTable3" cacheId="58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B7" firstHeaderRow="1" firstDataRow="1" firstDataCol="1"/>
  <pivotFields count="10">
    <pivotField dataField="1"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icket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04672-5D1F-46B8-8C81-8189D13C6F56}" name="Table1" displayName="Table1" ref="A1:J22" totalsRowShown="0" headerRowDxfId="3">
  <autoFilter ref="A1:J22" xr:uid="{89004672-5D1F-46B8-8C81-8189D13C6F56}"/>
  <tableColumns count="10">
    <tableColumn id="1" xr3:uid="{C5B81D52-3DA1-466C-8C3B-313834587243}" name="Ticket_ID"/>
    <tableColumn id="2" xr3:uid="{F5C5C3D9-4769-41A7-9D60-9168856787F4}" name="Date" dataDxfId="2"/>
    <tableColumn id="9" xr3:uid="{68E71EDF-A5B8-4D88-81CB-709D9518C23A}" name="Month" dataDxfId="1">
      <calculatedColumnFormula>TEXT(B2,"mmm-yyyy")</calculatedColumnFormula>
    </tableColumn>
    <tableColumn id="10" xr3:uid="{45D2E84E-92D5-4945-99ED-C6624225E45D}" name="MonthSort" dataDxfId="0">
      <calculatedColumnFormula>DATE(YEAR(B2),MONTH(B2),1)</calculatedColumnFormula>
    </tableColumn>
    <tableColumn id="3" xr3:uid="{FC407433-CA80-42B5-A141-CE7D5824FBD5}" name="Department"/>
    <tableColumn id="4" xr3:uid="{244DEE78-9DB8-4966-9190-F5846582F590}" name="Issue_Type"/>
    <tableColumn id="5" xr3:uid="{FAD6BF8B-7431-4735-8313-D3362F69FA15}" name="Priority"/>
    <tableColumn id="6" xr3:uid="{D6023336-0FCC-449E-BA70-2602198B7580}" name="Resolution_Time_Hours"/>
    <tableColumn id="7" xr3:uid="{C0A381B6-ED5A-4C08-941E-04FC3F9259D2}" name="Status"/>
    <tableColumn id="8" xr3:uid="{35C657A7-C580-43BF-B16C-33E24646F04F}" name="Technic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B0AE-9442-4839-AEF7-3C76C9EFB8EB}">
  <dimension ref="A1:AC5"/>
  <sheetViews>
    <sheetView tabSelected="1" workbookViewId="0">
      <selection activeCell="X19" sqref="X19"/>
    </sheetView>
  </sheetViews>
  <sheetFormatPr defaultRowHeight="15"/>
  <cols>
    <col min="1" max="1" width="25.140625" bestFit="1" customWidth="1"/>
    <col min="2" max="2" width="17.28515625" bestFit="1" customWidth="1"/>
    <col min="4" max="4" width="15.42578125" bestFit="1" customWidth="1"/>
    <col min="5" max="5" width="17.28515625" bestFit="1" customWidth="1"/>
  </cols>
  <sheetData>
    <row r="1" spans="1:29" ht="31.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21">
      <c r="A2" s="8" t="s">
        <v>1</v>
      </c>
      <c r="B2" s="8">
        <f>COUNTA(Ticket_Data!A:A)-1</f>
        <v>20</v>
      </c>
    </row>
    <row r="3" spans="1:29" ht="21">
      <c r="A3" s="8" t="s">
        <v>2</v>
      </c>
      <c r="B3" s="8" t="e">
        <f>AVERAGE(Ticket_Data!F:F)</f>
        <v>#DIV/0!</v>
      </c>
      <c r="F3" s="7"/>
    </row>
    <row r="4" spans="1:29" ht="21">
      <c r="A4" s="8" t="s">
        <v>3</v>
      </c>
      <c r="B4" s="8">
        <f>COUNTIF(Ticket_Data!E:E,"High")</f>
        <v>0</v>
      </c>
      <c r="F4" s="6"/>
    </row>
    <row r="5" spans="1:29" ht="21">
      <c r="A5" s="8" t="s">
        <v>4</v>
      </c>
      <c r="B5" s="8">
        <f>COUNTIF(Ticket_Data!G:G,"Closed")</f>
        <v>0</v>
      </c>
    </row>
  </sheetData>
  <mergeCells count="1">
    <mergeCell ref="A1:A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7ACA-319A-4569-B310-282DF39535AC}">
  <dimension ref="A1:H12"/>
  <sheetViews>
    <sheetView workbookViewId="0">
      <selection activeCell="G1" sqref="G1"/>
    </sheetView>
  </sheetViews>
  <sheetFormatPr defaultRowHeight="15"/>
  <cols>
    <col min="1" max="1" width="14.85546875" bestFit="1" customWidth="1"/>
    <col min="2" max="2" width="17.28515625" bestFit="1" customWidth="1"/>
    <col min="4" max="4" width="15.42578125" bestFit="1" customWidth="1"/>
    <col min="5" max="5" width="17.28515625" bestFit="1" customWidth="1"/>
    <col min="7" max="7" width="13.7109375" bestFit="1" customWidth="1"/>
    <col min="8" max="9" width="17.28515625" bestFit="1" customWidth="1"/>
  </cols>
  <sheetData>
    <row r="1" spans="1:8">
      <c r="A1" s="3" t="s">
        <v>5</v>
      </c>
      <c r="B1" t="s">
        <v>6</v>
      </c>
      <c r="D1" s="3" t="s">
        <v>7</v>
      </c>
      <c r="E1" t="s">
        <v>6</v>
      </c>
      <c r="G1" s="3" t="s">
        <v>8</v>
      </c>
      <c r="H1" t="s">
        <v>6</v>
      </c>
    </row>
    <row r="2" spans="1:8">
      <c r="A2" t="s">
        <v>9</v>
      </c>
      <c r="B2" s="4">
        <v>4</v>
      </c>
      <c r="D2" t="s">
        <v>10</v>
      </c>
      <c r="E2" s="4">
        <v>2</v>
      </c>
      <c r="G2" s="2">
        <v>45658</v>
      </c>
      <c r="H2" s="4">
        <v>10</v>
      </c>
    </row>
    <row r="3" spans="1:8">
      <c r="A3" t="s">
        <v>11</v>
      </c>
      <c r="B3" s="4">
        <v>6</v>
      </c>
      <c r="D3" t="s">
        <v>12</v>
      </c>
      <c r="E3" s="4">
        <v>2</v>
      </c>
      <c r="G3" s="2">
        <v>45689</v>
      </c>
      <c r="H3" s="4">
        <v>3</v>
      </c>
    </row>
    <row r="4" spans="1:8">
      <c r="A4" t="s">
        <v>13</v>
      </c>
      <c r="B4" s="4">
        <v>6</v>
      </c>
      <c r="D4" t="s">
        <v>14</v>
      </c>
      <c r="E4" s="4">
        <v>2</v>
      </c>
      <c r="G4" s="2">
        <v>45717</v>
      </c>
      <c r="H4" s="4">
        <v>3</v>
      </c>
    </row>
    <row r="5" spans="1:8">
      <c r="A5" t="s">
        <v>15</v>
      </c>
      <c r="B5" s="4">
        <v>4</v>
      </c>
      <c r="D5" t="s">
        <v>16</v>
      </c>
      <c r="E5" s="4">
        <v>2</v>
      </c>
      <c r="G5" s="2">
        <v>45748</v>
      </c>
      <c r="H5" s="4">
        <v>2</v>
      </c>
    </row>
    <row r="6" spans="1:8">
      <c r="A6" t="s">
        <v>17</v>
      </c>
      <c r="B6" s="4"/>
      <c r="D6" t="s">
        <v>18</v>
      </c>
      <c r="E6" s="4">
        <v>4</v>
      </c>
      <c r="G6" s="2">
        <v>45778</v>
      </c>
      <c r="H6" s="4">
        <v>2</v>
      </c>
    </row>
    <row r="7" spans="1:8">
      <c r="A7" t="s">
        <v>19</v>
      </c>
      <c r="B7" s="4">
        <v>20</v>
      </c>
      <c r="D7" t="s">
        <v>20</v>
      </c>
      <c r="E7" s="4">
        <v>2</v>
      </c>
      <c r="G7" t="s">
        <v>17</v>
      </c>
      <c r="H7" s="4"/>
    </row>
    <row r="8" spans="1:8">
      <c r="D8" t="s">
        <v>21</v>
      </c>
      <c r="E8" s="4">
        <v>2</v>
      </c>
      <c r="G8" t="s">
        <v>19</v>
      </c>
      <c r="H8" s="4">
        <v>20</v>
      </c>
    </row>
    <row r="9" spans="1:8">
      <c r="D9" t="s">
        <v>22</v>
      </c>
      <c r="E9" s="4">
        <v>2</v>
      </c>
    </row>
    <row r="10" spans="1:8">
      <c r="D10" t="s">
        <v>23</v>
      </c>
      <c r="E10" s="4">
        <v>2</v>
      </c>
    </row>
    <row r="11" spans="1:8">
      <c r="D11" t="s">
        <v>17</v>
      </c>
      <c r="E11" s="4"/>
    </row>
    <row r="12" spans="1:8">
      <c r="D12" t="s">
        <v>19</v>
      </c>
      <c r="E12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D22" sqref="D22"/>
    </sheetView>
  </sheetViews>
  <sheetFormatPr defaultRowHeight="15"/>
  <cols>
    <col min="1" max="1" width="11.42578125" bestFit="1" customWidth="1"/>
    <col min="2" max="2" width="10.140625" bestFit="1" customWidth="1"/>
    <col min="3" max="3" width="14" bestFit="1" customWidth="1"/>
    <col min="4" max="4" width="15.42578125" bestFit="1" customWidth="1"/>
    <col min="5" max="5" width="9.7109375" bestFit="1" customWidth="1"/>
    <col min="6" max="6" width="24.42578125" bestFit="1" customWidth="1"/>
    <col min="8" max="8" width="12.5703125" bestFit="1" customWidth="1"/>
  </cols>
  <sheetData>
    <row r="1" spans="1:10">
      <c r="A1" s="1" t="s">
        <v>24</v>
      </c>
      <c r="B1" s="1" t="s">
        <v>25</v>
      </c>
      <c r="C1" s="1" t="s">
        <v>26</v>
      </c>
      <c r="D1" s="1" t="s">
        <v>8</v>
      </c>
      <c r="E1" s="1" t="s">
        <v>5</v>
      </c>
      <c r="F1" s="1" t="s">
        <v>7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>
      <c r="A2">
        <v>1001</v>
      </c>
      <c r="B2" s="2">
        <v>45659</v>
      </c>
      <c r="C2" s="2" t="str">
        <f t="shared" ref="C2:C11" si="0">TEXT(B2,"mmm-yyyy")</f>
        <v>Jan-2025</v>
      </c>
      <c r="D2" s="2">
        <f t="shared" ref="D2:D22" si="1">DATE(YEAR(B2),MONTH(B2),1)</f>
        <v>45658</v>
      </c>
      <c r="E2" t="s">
        <v>11</v>
      </c>
      <c r="F2" t="s">
        <v>18</v>
      </c>
      <c r="G2" t="s">
        <v>31</v>
      </c>
      <c r="H2">
        <v>0.5</v>
      </c>
      <c r="I2" t="s">
        <v>32</v>
      </c>
      <c r="J2" t="s">
        <v>33</v>
      </c>
    </row>
    <row r="3" spans="1:10">
      <c r="A3">
        <v>1002</v>
      </c>
      <c r="B3" s="2">
        <v>45660</v>
      </c>
      <c r="C3" s="2" t="str">
        <f t="shared" si="0"/>
        <v>Jan-2025</v>
      </c>
      <c r="D3" s="2">
        <f t="shared" si="1"/>
        <v>45658</v>
      </c>
      <c r="E3" t="s">
        <v>9</v>
      </c>
      <c r="F3" t="s">
        <v>22</v>
      </c>
      <c r="G3" t="s">
        <v>34</v>
      </c>
      <c r="H3">
        <v>2</v>
      </c>
      <c r="I3" t="s">
        <v>32</v>
      </c>
      <c r="J3" t="s">
        <v>35</v>
      </c>
    </row>
    <row r="4" spans="1:10">
      <c r="A4">
        <v>1003</v>
      </c>
      <c r="B4" s="2">
        <v>45662</v>
      </c>
      <c r="C4" s="2" t="str">
        <f t="shared" si="0"/>
        <v>Jan-2025</v>
      </c>
      <c r="D4" s="2">
        <f t="shared" si="1"/>
        <v>45658</v>
      </c>
      <c r="E4" t="s">
        <v>13</v>
      </c>
      <c r="F4" t="s">
        <v>16</v>
      </c>
      <c r="G4" t="s">
        <v>36</v>
      </c>
      <c r="H4">
        <v>5</v>
      </c>
      <c r="I4" t="s">
        <v>32</v>
      </c>
      <c r="J4" t="s">
        <v>37</v>
      </c>
    </row>
    <row r="5" spans="1:10">
      <c r="A5">
        <v>1004</v>
      </c>
      <c r="B5" s="2">
        <v>45663</v>
      </c>
      <c r="C5" s="2" t="str">
        <f t="shared" si="0"/>
        <v>Jan-2025</v>
      </c>
      <c r="D5" s="2">
        <f t="shared" si="1"/>
        <v>45658</v>
      </c>
      <c r="E5" t="s">
        <v>11</v>
      </c>
      <c r="F5" t="s">
        <v>10</v>
      </c>
      <c r="G5" t="s">
        <v>31</v>
      </c>
      <c r="H5">
        <v>0.3</v>
      </c>
      <c r="I5" t="s">
        <v>32</v>
      </c>
      <c r="J5" t="s">
        <v>33</v>
      </c>
    </row>
    <row r="6" spans="1:10">
      <c r="A6">
        <v>1005</v>
      </c>
      <c r="B6" s="2">
        <v>45664</v>
      </c>
      <c r="C6" s="2" t="str">
        <f t="shared" si="0"/>
        <v>Jan-2025</v>
      </c>
      <c r="D6" s="2">
        <f t="shared" si="1"/>
        <v>45658</v>
      </c>
      <c r="E6" t="s">
        <v>15</v>
      </c>
      <c r="F6" t="s">
        <v>14</v>
      </c>
      <c r="G6" t="s">
        <v>36</v>
      </c>
      <c r="H6">
        <v>6</v>
      </c>
      <c r="I6" t="s">
        <v>32</v>
      </c>
      <c r="J6" t="s">
        <v>35</v>
      </c>
    </row>
    <row r="7" spans="1:10">
      <c r="A7">
        <v>1006</v>
      </c>
      <c r="B7" s="2">
        <v>45665</v>
      </c>
      <c r="C7" s="2" t="str">
        <f t="shared" si="0"/>
        <v>Jan-2025</v>
      </c>
      <c r="D7" s="2">
        <f t="shared" si="1"/>
        <v>45658</v>
      </c>
      <c r="E7" t="s">
        <v>9</v>
      </c>
      <c r="F7" t="s">
        <v>23</v>
      </c>
      <c r="G7" t="s">
        <v>34</v>
      </c>
      <c r="H7">
        <v>3</v>
      </c>
      <c r="I7" t="s">
        <v>32</v>
      </c>
      <c r="J7" t="s">
        <v>37</v>
      </c>
    </row>
    <row r="8" spans="1:10">
      <c r="A8">
        <v>1007</v>
      </c>
      <c r="B8" s="2">
        <v>45666</v>
      </c>
      <c r="C8" s="2" t="str">
        <f t="shared" si="0"/>
        <v>Jan-2025</v>
      </c>
      <c r="D8" s="2">
        <f t="shared" si="1"/>
        <v>45658</v>
      </c>
      <c r="E8" t="s">
        <v>13</v>
      </c>
      <c r="F8" t="s">
        <v>20</v>
      </c>
      <c r="G8" t="s">
        <v>31</v>
      </c>
      <c r="H8">
        <v>1</v>
      </c>
      <c r="I8" t="s">
        <v>32</v>
      </c>
      <c r="J8" t="s">
        <v>33</v>
      </c>
    </row>
    <row r="9" spans="1:10">
      <c r="A9">
        <v>1008</v>
      </c>
      <c r="B9" s="2">
        <v>45667</v>
      </c>
      <c r="C9" s="2" t="str">
        <f t="shared" si="0"/>
        <v>Jan-2025</v>
      </c>
      <c r="D9" s="2">
        <f t="shared" si="1"/>
        <v>45658</v>
      </c>
      <c r="E9" t="s">
        <v>15</v>
      </c>
      <c r="F9" t="s">
        <v>18</v>
      </c>
      <c r="G9" t="s">
        <v>31</v>
      </c>
      <c r="H9">
        <v>0.4</v>
      </c>
      <c r="I9" t="s">
        <v>32</v>
      </c>
      <c r="J9" t="s">
        <v>35</v>
      </c>
    </row>
    <row r="10" spans="1:10">
      <c r="A10">
        <v>1009</v>
      </c>
      <c r="B10" s="2">
        <v>45668</v>
      </c>
      <c r="C10" s="2" t="str">
        <f t="shared" si="0"/>
        <v>Jan-2025</v>
      </c>
      <c r="D10" s="2">
        <f t="shared" si="1"/>
        <v>45658</v>
      </c>
      <c r="E10" t="s">
        <v>11</v>
      </c>
      <c r="F10" t="s">
        <v>12</v>
      </c>
      <c r="G10" t="s">
        <v>34</v>
      </c>
      <c r="H10">
        <v>2</v>
      </c>
      <c r="I10" t="s">
        <v>32</v>
      </c>
      <c r="J10" t="s">
        <v>37</v>
      </c>
    </row>
    <row r="11" spans="1:10">
      <c r="A11">
        <v>1010</v>
      </c>
      <c r="B11" s="2">
        <v>45669</v>
      </c>
      <c r="C11" s="2" t="str">
        <f t="shared" si="0"/>
        <v>Jan-2025</v>
      </c>
      <c r="D11" s="2">
        <f t="shared" si="1"/>
        <v>45658</v>
      </c>
      <c r="E11" t="s">
        <v>13</v>
      </c>
      <c r="F11" t="s">
        <v>21</v>
      </c>
      <c r="G11" t="s">
        <v>36</v>
      </c>
      <c r="H11">
        <v>8</v>
      </c>
      <c r="I11" t="s">
        <v>32</v>
      </c>
      <c r="J11" t="s">
        <v>33</v>
      </c>
    </row>
    <row r="12" spans="1:10">
      <c r="A12">
        <v>1011</v>
      </c>
      <c r="B12" s="2">
        <v>45691</v>
      </c>
      <c r="C12" s="2" t="str">
        <f>TEXT(B12,"mmm-yyyy")</f>
        <v>Feb-2025</v>
      </c>
      <c r="D12" s="2">
        <f t="shared" si="1"/>
        <v>45689</v>
      </c>
      <c r="E12" s="2" t="s">
        <v>11</v>
      </c>
      <c r="F12" t="s">
        <v>18</v>
      </c>
      <c r="G12" t="s">
        <v>31</v>
      </c>
      <c r="H12">
        <v>0.4</v>
      </c>
      <c r="I12" t="s">
        <v>32</v>
      </c>
      <c r="J12" t="s">
        <v>33</v>
      </c>
    </row>
    <row r="13" spans="1:10">
      <c r="A13">
        <v>1012</v>
      </c>
      <c r="B13" s="2">
        <v>45693</v>
      </c>
      <c r="C13" s="2" t="str">
        <f t="shared" ref="C13:C22" si="2">TEXT(B13,"mmm-yyyy")</f>
        <v>Feb-2025</v>
      </c>
      <c r="D13" s="2">
        <f t="shared" si="1"/>
        <v>45689</v>
      </c>
      <c r="E13" s="2" t="s">
        <v>13</v>
      </c>
      <c r="F13" t="s">
        <v>16</v>
      </c>
      <c r="G13" t="s">
        <v>36</v>
      </c>
      <c r="H13">
        <v>4</v>
      </c>
      <c r="I13" t="s">
        <v>32</v>
      </c>
      <c r="J13" t="s">
        <v>37</v>
      </c>
    </row>
    <row r="14" spans="1:10">
      <c r="A14">
        <v>1013</v>
      </c>
      <c r="B14" s="2">
        <v>45695</v>
      </c>
      <c r="C14" s="2" t="str">
        <f t="shared" si="2"/>
        <v>Feb-2025</v>
      </c>
      <c r="D14" s="2">
        <f t="shared" si="1"/>
        <v>45689</v>
      </c>
      <c r="E14" s="2" t="s">
        <v>9</v>
      </c>
      <c r="F14" t="s">
        <v>22</v>
      </c>
      <c r="G14" t="s">
        <v>34</v>
      </c>
      <c r="H14">
        <v>1.5</v>
      </c>
      <c r="I14" t="s">
        <v>32</v>
      </c>
      <c r="J14" t="s">
        <v>35</v>
      </c>
    </row>
    <row r="15" spans="1:10">
      <c r="A15">
        <v>1014</v>
      </c>
      <c r="B15" s="2">
        <v>45717</v>
      </c>
      <c r="C15" s="2" t="str">
        <f t="shared" si="2"/>
        <v>Mar-2025</v>
      </c>
      <c r="D15" s="2">
        <f t="shared" si="1"/>
        <v>45717</v>
      </c>
      <c r="E15" s="2" t="s">
        <v>15</v>
      </c>
      <c r="F15" t="s">
        <v>14</v>
      </c>
      <c r="G15" t="s">
        <v>36</v>
      </c>
      <c r="H15">
        <v>5</v>
      </c>
      <c r="I15" t="s">
        <v>32</v>
      </c>
      <c r="J15" t="s">
        <v>35</v>
      </c>
    </row>
    <row r="16" spans="1:10">
      <c r="A16">
        <v>1015</v>
      </c>
      <c r="B16" s="2">
        <v>45720</v>
      </c>
      <c r="C16" s="2" t="str">
        <f t="shared" si="2"/>
        <v>Mar-2025</v>
      </c>
      <c r="D16" s="2">
        <f t="shared" si="1"/>
        <v>45717</v>
      </c>
      <c r="E16" s="2" t="s">
        <v>13</v>
      </c>
      <c r="F16" t="s">
        <v>20</v>
      </c>
      <c r="G16" t="s">
        <v>31</v>
      </c>
      <c r="H16">
        <v>0.8</v>
      </c>
      <c r="I16" t="s">
        <v>32</v>
      </c>
      <c r="J16" t="s">
        <v>33</v>
      </c>
    </row>
    <row r="17" spans="1:10">
      <c r="A17">
        <v>1016</v>
      </c>
      <c r="B17" s="2">
        <v>45726</v>
      </c>
      <c r="C17" s="2" t="str">
        <f t="shared" si="2"/>
        <v>Mar-2025</v>
      </c>
      <c r="D17" s="2">
        <f t="shared" si="1"/>
        <v>45717</v>
      </c>
      <c r="E17" s="2" t="s">
        <v>11</v>
      </c>
      <c r="F17" t="s">
        <v>12</v>
      </c>
      <c r="G17" t="s">
        <v>34</v>
      </c>
      <c r="H17">
        <v>2.5</v>
      </c>
      <c r="I17" t="s">
        <v>32</v>
      </c>
      <c r="J17" t="s">
        <v>37</v>
      </c>
    </row>
    <row r="18" spans="1:10">
      <c r="A18">
        <v>1017</v>
      </c>
      <c r="B18" s="2">
        <v>45749</v>
      </c>
      <c r="C18" s="2" t="str">
        <f t="shared" si="2"/>
        <v>Apr-2025</v>
      </c>
      <c r="D18" s="2">
        <f t="shared" si="1"/>
        <v>45748</v>
      </c>
      <c r="E18" s="2" t="s">
        <v>13</v>
      </c>
      <c r="F18" t="s">
        <v>21</v>
      </c>
      <c r="G18" t="s">
        <v>36</v>
      </c>
      <c r="H18">
        <v>6</v>
      </c>
      <c r="I18" t="s">
        <v>32</v>
      </c>
      <c r="J18" t="s">
        <v>33</v>
      </c>
    </row>
    <row r="19" spans="1:10">
      <c r="A19">
        <v>1018</v>
      </c>
      <c r="B19" s="2">
        <v>45753</v>
      </c>
      <c r="C19" s="2" t="str">
        <f t="shared" si="2"/>
        <v>Apr-2025</v>
      </c>
      <c r="D19" s="2">
        <f t="shared" si="1"/>
        <v>45748</v>
      </c>
      <c r="E19" s="2" t="s">
        <v>9</v>
      </c>
      <c r="F19" t="s">
        <v>23</v>
      </c>
      <c r="G19" t="s">
        <v>34</v>
      </c>
      <c r="H19">
        <v>3</v>
      </c>
      <c r="I19" t="s">
        <v>32</v>
      </c>
      <c r="J19" t="s">
        <v>37</v>
      </c>
    </row>
    <row r="20" spans="1:10">
      <c r="A20">
        <v>1019</v>
      </c>
      <c r="B20" s="2">
        <v>45778</v>
      </c>
      <c r="C20" s="2" t="str">
        <f t="shared" si="2"/>
        <v>May-2025</v>
      </c>
      <c r="D20" s="2">
        <f t="shared" si="1"/>
        <v>45778</v>
      </c>
      <c r="E20" s="2" t="s">
        <v>15</v>
      </c>
      <c r="F20" t="s">
        <v>18</v>
      </c>
      <c r="G20" t="s">
        <v>31</v>
      </c>
      <c r="H20">
        <v>0.3</v>
      </c>
      <c r="I20" t="s">
        <v>32</v>
      </c>
      <c r="J20" t="s">
        <v>35</v>
      </c>
    </row>
    <row r="21" spans="1:10">
      <c r="A21">
        <v>1020</v>
      </c>
      <c r="B21" s="2">
        <v>45786</v>
      </c>
      <c r="C21" s="2" t="str">
        <f t="shared" si="2"/>
        <v>May-2025</v>
      </c>
      <c r="D21" s="2">
        <f t="shared" si="1"/>
        <v>45778</v>
      </c>
      <c r="E21" s="2" t="s">
        <v>11</v>
      </c>
      <c r="F21" t="s">
        <v>10</v>
      </c>
      <c r="G21" t="s">
        <v>31</v>
      </c>
      <c r="H21">
        <v>0.5</v>
      </c>
      <c r="I21" t="s">
        <v>32</v>
      </c>
      <c r="J21" t="s">
        <v>33</v>
      </c>
    </row>
    <row r="22" spans="1:10">
      <c r="B22" s="2"/>
      <c r="C22" s="2"/>
      <c r="D2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2026-02-11T15:44:38Z</dcterms:created>
  <dcterms:modified xsi:type="dcterms:W3CDTF">2026-02-11T17:41:12Z</dcterms:modified>
  <cp:category/>
  <cp:contentStatus/>
</cp:coreProperties>
</file>